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库存数据" sheetId="2" state="visible" r:id="rId2"/>
    <sheet xmlns:r="http://schemas.openxmlformats.org/officeDocument/2006/relationships" name="基础数据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C0392B"/>
      <sz val="12"/>
    </font>
    <font>
      <b val="1"/>
      <color rgb="00FFFFFF"/>
      <sz val="11"/>
    </font>
    <font>
      <i val="1"/>
      <color rgb="00888888"/>
      <sz val="10"/>
    </font>
    <font>
      <i val="1"/>
      <color rgb="0027AE60"/>
      <sz val="10"/>
    </font>
  </fonts>
  <fills count="6">
    <fill>
      <patternFill/>
    </fill>
    <fill>
      <patternFill patternType="gray125"/>
    </fill>
    <fill>
      <patternFill patternType="solid">
        <fgColor rgb="00E74C3C"/>
        <bgColor rgb="00E74C3C"/>
      </patternFill>
    </fill>
    <fill>
      <patternFill patternType="solid">
        <fgColor rgb="00E8F5E9"/>
        <bgColor rgb="00E8F5E9"/>
      </patternFill>
    </fill>
    <fill>
      <patternFill patternType="solid">
        <fgColor rgb="002E86C1"/>
        <bgColor rgb="002E86C1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📋 香水供应链·库存预警看板 - 数据模板使用说明</t>
        </is>
      </c>
    </row>
    <row r="2">
      <c r="A2" t="inlineStr"/>
    </row>
    <row r="3">
      <c r="A3" t="inlineStr">
        <is>
          <t>本模板包含 3 个工作表：</t>
        </is>
      </c>
    </row>
    <row r="4">
      <c r="A4" t="inlineStr"/>
    </row>
    <row r="5">
      <c r="A5" s="1" t="inlineStr">
        <is>
          <t>━━━━━━━━━━━━━━━━━━━━━━━━━━━━━━━━━━━━━━━━━━━━━━━━━━━━━━━</t>
        </is>
      </c>
    </row>
    <row r="6">
      <c r="A6" s="2" t="inlineStr">
        <is>
          <t>【Sheet 1: 库存数据（主表）】</t>
        </is>
      </c>
    </row>
    <row r="7">
      <c r="A7" s="1" t="inlineStr">
        <is>
          <t>━━━━━━━━━━━━━━━━━━━━━━━━━━━━━━━━━━━━━━━━━━━━━━━━━━━━━━━</t>
        </is>
      </c>
    </row>
    <row r="8">
      <c r="A8" t="inlineStr"/>
    </row>
    <row r="9">
      <c r="A9" t="inlineStr">
        <is>
          <t>📌 字段说明（共10列）：</t>
        </is>
      </c>
    </row>
    <row r="10">
      <c r="A10" t="inlineStr"/>
    </row>
    <row r="11">
      <c r="A11" t="inlineStr">
        <is>
          <t xml:space="preserve">  列号 | 字段名   | 格式/示例                 | 必填 | 说明</t>
        </is>
      </c>
    </row>
    <row r="12">
      <c r="A12" t="inlineStr">
        <is>
          <t xml:space="preserve">  ─────┼──────────┼──────────────────────────┼──────┼────────────────────────────</t>
        </is>
      </c>
    </row>
    <row r="13">
      <c r="A13" t="inlineStr">
        <is>
          <t xml:space="preserve">   A   | 门店      | 三亚国际免税城            | ✅   | 从下拉列表中选择</t>
        </is>
      </c>
    </row>
    <row r="14">
      <c r="A14" t="inlineStr">
        <is>
          <t xml:space="preserve">   B   | 产品      | 香奈儿5号                 | ✅   | 产品名称（自由填写）</t>
        </is>
      </c>
    </row>
    <row r="15">
      <c r="A15" t="inlineStr">
        <is>
          <t xml:space="preserve">   C   | 品牌      | CHANEL                     | ✅   | 从下拉列表中选择</t>
        </is>
      </c>
    </row>
    <row r="16">
      <c r="A16" t="inlineStr">
        <is>
          <t xml:space="preserve">   D   | 当前库存   | 35                        | ✅   | 当前实际库存量（正整数）</t>
        </is>
      </c>
    </row>
    <row r="17">
      <c r="A17" t="inlineStr">
        <is>
          <t xml:space="preserve">   E   | 安全库存   | 40                        | ✅   | 最低安全库存线</t>
        </is>
      </c>
    </row>
    <row r="18">
      <c r="A18" t="inlineStr">
        <is>
          <t xml:space="preserve">   F   | 最大库存   | 100                       | ✅   | 仓库最大容量</t>
        </is>
      </c>
    </row>
    <row r="19">
      <c r="A19" t="inlineStr">
        <is>
          <t xml:space="preserve">   G   | 日均销量   | 2.5                       | ✅   | 近30天日均销售件数</t>
        </is>
      </c>
    </row>
    <row r="20">
      <c r="A20" t="inlineStr">
        <is>
          <t xml:space="preserve">   H   | 预计天数   | (自动计算)                 | ❌   | 系统 = 当前库存÷日均销量</t>
        </is>
      </c>
    </row>
    <row r="21">
      <c r="A21" t="inlineStr">
        <is>
          <t xml:space="preserve">   I   | 库存状态   | (自动计算)                 | ❌   | 系统基于对比自动判定</t>
        </is>
      </c>
    </row>
    <row r="22">
      <c r="A22" t="inlineStr">
        <is>
          <t xml:space="preserve">   J   | 建议补货   | (自动计算)                 | ❌   | 系统根据公式自动生成</t>
        </is>
      </c>
    </row>
    <row r="23">
      <c r="A23" t="inlineStr"/>
    </row>
    <row r="24">
      <c r="A24" s="1" t="inlineStr">
        <is>
          <t>━━━━━━━━━━━━━━━━━━━━━━━━━━━━━━━━━━━━━━━━━━━━━━━━━━━━━━━</t>
        </is>
      </c>
    </row>
    <row r="25">
      <c r="A25" s="2" t="inlineStr">
        <is>
          <t>【自动计算规则说明】</t>
        </is>
      </c>
    </row>
    <row r="26">
      <c r="A26" s="1" t="inlineStr">
        <is>
          <t>━━━━━━━━━━━━━━━━━━━━━━━━━━━━━━━━━━━━━━━━━━━━━━━━━━━━━━━</t>
        </is>
      </c>
    </row>
    <row r="27">
      <c r="A27" t="inlineStr"/>
    </row>
    <row r="28">
      <c r="A28" t="inlineStr">
        <is>
          <t xml:space="preserve">  1️⃣ 预计天数 = 当前库存 ÷ 日均销量</t>
        </is>
      </c>
    </row>
    <row r="29">
      <c r="A29" t="inlineStr">
        <is>
          <t xml:space="preserve">     • 表示按当前日均销量可支撑的天数</t>
        </is>
      </c>
    </row>
    <row r="30">
      <c r="A30" t="inlineStr"/>
    </row>
    <row r="31">
      <c r="A31" t="inlineStr">
        <is>
          <t xml:space="preserve">  2️⃣ 库存状态判定：</t>
        </is>
      </c>
    </row>
    <row r="32">
      <c r="A32" t="inlineStr">
        <is>
          <t xml:space="preserve">     • ⚠️ 预警  → 当前库存 &lt; 安全库存</t>
        </is>
      </c>
    </row>
    <row r="33">
      <c r="A33" t="inlineStr">
        <is>
          <t xml:space="preserve">     • 🟡 偏低  → 安全库存 ≤ 当前库存 &lt; 安全库存×1.5</t>
        </is>
      </c>
    </row>
    <row r="34">
      <c r="A34" t="inlineStr">
        <is>
          <t xml:space="preserve">     • ✅ 正常  → 当前库存 ≥ 安全库存×1.5</t>
        </is>
      </c>
    </row>
    <row r="35">
      <c r="A35" t="inlineStr"/>
    </row>
    <row r="36">
      <c r="A36" t="inlineStr">
        <is>
          <t xml:space="preserve">  3️⃣ 建议补货量：</t>
        </is>
      </c>
    </row>
    <row r="37">
      <c r="A37" t="inlineStr">
        <is>
          <t xml:space="preserve">     • 当库存状态 = 预警 或 偏低 时触发</t>
        </is>
      </c>
    </row>
    <row r="38">
      <c r="A38" t="inlineStr">
        <is>
          <t xml:space="preserve">     • 建议补货 = max(0, 安全库存×2 - 当前库存)</t>
        </is>
      </c>
    </row>
    <row r="39">
      <c r="A39" t="inlineStr">
        <is>
          <t xml:space="preserve">     • 正常状态的品类建议补货 = 0</t>
        </is>
      </c>
    </row>
    <row r="40">
      <c r="A40" t="inlineStr"/>
    </row>
    <row r="41">
      <c r="A41" s="1" t="inlineStr">
        <is>
          <t>━━━━━━━━━━━━━━━━━━━━━━━━━━━━━━━━━━━━━━━━━━━━━━━━━━━━━━━</t>
        </is>
      </c>
    </row>
    <row r="42">
      <c r="A42" s="2" t="inlineStr">
        <is>
          <t>【颜色标记说明】</t>
        </is>
      </c>
    </row>
    <row r="43">
      <c r="A43" s="1" t="inlineStr">
        <is>
          <t>━━━━━━━━━━━━━━━━━━━━━━━━━━━━━━━━━━━━━━━━━━━━━━━━━━━━━━━</t>
        </is>
      </c>
    </row>
    <row r="44">
      <c r="A44" t="inlineStr"/>
    </row>
    <row r="45">
      <c r="A45" t="inlineStr">
        <is>
          <t xml:space="preserve">  🟢 绿色底列 = 系统自动计算，无需填写</t>
        </is>
      </c>
    </row>
    <row r="46">
      <c r="A46" t="inlineStr">
        <is>
          <t xml:space="preserve">  🟡 黄色底列 = 选填字段（当前模板中全部为必填）</t>
        </is>
      </c>
    </row>
    <row r="47">
      <c r="A47" t="inlineStr">
        <is>
          <t xml:space="preserve">  🔽 下拉箭头 = 可从预定义列表中选择</t>
        </is>
      </c>
    </row>
    <row r="48">
      <c r="A48" t="inlineStr"/>
    </row>
    <row r="49">
      <c r="A49" s="1" t="inlineStr">
        <is>
          <t>━━━━━━━━━━━━━━━━━━━━━━━━━━━━━━━━━━━━━━━━━━━━━━━━━━━━━━━</t>
        </is>
      </c>
    </row>
    <row r="50">
      <c r="A50" s="2" t="inlineStr">
        <is>
          <t>【Sheet 2: 基础数据配置】</t>
        </is>
      </c>
    </row>
    <row r="51">
      <c r="A51" s="1" t="inlineStr">
        <is>
          <t>━━━━━━━━━━━━━━━━━━━━━━━━━━━━━━━━━━━━━━━━━━━━━━━━━━━━━━━</t>
        </is>
      </c>
    </row>
    <row r="52">
      <c r="A52" t="inlineStr"/>
    </row>
    <row r="53">
      <c r="A53" t="inlineStr">
        <is>
          <t xml:space="preserve">  可自定义：品牌列表、门店列表</t>
        </is>
      </c>
    </row>
    <row r="54">
      <c r="A54" t="inlineStr">
        <is>
          <t xml:space="preserve">  修改后，主表的对应下拉选项会自动更新</t>
        </is>
      </c>
    </row>
    <row r="55">
      <c r="A55" t="inlineStr"/>
    </row>
    <row r="56">
      <c r="A56" s="1" t="inlineStr">
        <is>
          <t>━━━━━━━━━━━━━━━━━━━━━━━━━━━━━━━━━━━━━━━━━━━━━━━━━━━━━━━</t>
        </is>
      </c>
    </row>
    <row r="57">
      <c r="A57" s="2" t="inlineStr">
        <is>
          <t>【使用流程】</t>
        </is>
      </c>
    </row>
    <row r="58">
      <c r="A58" s="1" t="inlineStr">
        <is>
          <t>━━━━━━━━━━━━━━━━━━━━━━━━━━━━━━━━━━━━━━━━━━━━━━━━━━━━━━━</t>
        </is>
      </c>
    </row>
    <row r="59">
      <c r="A59" t="inlineStr"/>
    </row>
    <row r="60">
      <c r="A60" t="inlineStr">
        <is>
          <t xml:space="preserve">  1️⃣ 在【基础数据配置】中调整品牌/门店选项</t>
        </is>
      </c>
    </row>
    <row r="61">
      <c r="A61" t="inlineStr">
        <is>
          <t xml:space="preserve">  2️⃣ 在【库存数据】表中填入真实库存记录</t>
        </is>
      </c>
    </row>
    <row r="62">
      <c r="A62" t="inlineStr">
        <is>
          <t xml:space="preserve">     - 只需填 A~G 列（门店/产品/品牌/当前库存/安全库存/最大库存/日均销量）</t>
        </is>
      </c>
    </row>
    <row r="63">
      <c r="A63" t="inlineStr">
        <is>
          <t xml:space="preserve">     - H~J 列系统自动计算，无需填写</t>
        </is>
      </c>
    </row>
    <row r="64">
      <c r="A64" t="inlineStr">
        <is>
          <t xml:space="preserve">  3️⃣ 保存为 inventory_data.xlsx</t>
        </is>
      </c>
    </row>
    <row r="65">
      <c r="A65" t="inlineStr">
        <is>
          <t xml:space="preserve">  4️⃣ 放入项目的 data/inventory/ 目录</t>
        </is>
      </c>
    </row>
    <row r="66">
      <c r="A66" t="inlineStr">
        <is>
          <t xml:space="preserve">  5️⃣ 运行 Streamlit 应用，自动读取真实库存数据</t>
        </is>
      </c>
    </row>
    <row r="67">
      <c r="A67" t="inlineStr"/>
    </row>
    <row r="68">
      <c r="A68" t="inlineStr">
        <is>
          <t>💡 提示：可从 ERP/WMS 系统导出库存报表，</t>
        </is>
      </c>
    </row>
    <row r="69">
      <c r="A69" t="inlineStr">
        <is>
          <t xml:space="preserve">   整理后粘贴到本模板中，只需保证列名一致。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3" t="inlineStr">
        <is>
          <t>门店</t>
        </is>
      </c>
      <c r="B1" s="3" t="inlineStr">
        <is>
          <t>产品</t>
        </is>
      </c>
      <c r="C1" s="3" t="inlineStr">
        <is>
          <t>品牌</t>
        </is>
      </c>
      <c r="D1" s="3" t="inlineStr">
        <is>
          <t>当前库存</t>
        </is>
      </c>
      <c r="E1" s="3" t="inlineStr">
        <is>
          <t>安全库存</t>
        </is>
      </c>
      <c r="F1" s="3" t="inlineStr">
        <is>
          <t>最大库存</t>
        </is>
      </c>
      <c r="G1" s="3" t="inlineStr">
        <is>
          <t>日均销量</t>
        </is>
      </c>
      <c r="H1" s="3" t="inlineStr">
        <is>
          <t>预计天数</t>
        </is>
      </c>
      <c r="I1" s="3" t="inlineStr">
        <is>
          <t>库存状态</t>
        </is>
      </c>
      <c r="J1" s="3" t="inlineStr">
        <is>
          <t>建议补货</t>
        </is>
      </c>
    </row>
    <row r="2">
      <c r="A2" s="4" t="inlineStr">
        <is>
          <t>三亚国际免税城</t>
        </is>
      </c>
      <c r="B2" s="4" t="inlineStr">
        <is>
          <t>香奈儿5号</t>
        </is>
      </c>
      <c r="C2" s="4" t="inlineStr">
        <is>
          <t>GUCCI</t>
        </is>
      </c>
      <c r="D2" s="5" t="n">
        <v>81</v>
      </c>
      <c r="E2" s="5" t="n">
        <v>40</v>
      </c>
      <c r="F2" s="5" t="n">
        <v>100</v>
      </c>
      <c r="G2" s="6" t="n">
        <v>1.3</v>
      </c>
      <c r="H2" s="7" t="n">
        <v>62.3</v>
      </c>
      <c r="I2" s="8" t="inlineStr">
        <is>
          <t>✅ 正常</t>
        </is>
      </c>
      <c r="J2" s="9" t="n">
        <v>0</v>
      </c>
    </row>
    <row r="3">
      <c r="A3" s="4" t="inlineStr">
        <is>
          <t>三亚国际免税城</t>
        </is>
      </c>
      <c r="B3" s="4" t="inlineStr">
        <is>
          <t>迪奥小姐</t>
        </is>
      </c>
      <c r="C3" s="4" t="inlineStr">
        <is>
          <t>GUCCI</t>
        </is>
      </c>
      <c r="D3" s="5" t="n">
        <v>53</v>
      </c>
      <c r="E3" s="5" t="n">
        <v>24</v>
      </c>
      <c r="F3" s="5" t="n">
        <v>80</v>
      </c>
      <c r="G3" s="6" t="n">
        <v>1.9</v>
      </c>
      <c r="H3" s="7" t="n">
        <v>27.9</v>
      </c>
      <c r="I3" s="8" t="inlineStr">
        <is>
          <t>✅ 正常</t>
        </is>
      </c>
      <c r="J3" s="9" t="n">
        <v>0</v>
      </c>
    </row>
    <row r="4">
      <c r="A4" s="4" t="inlineStr">
        <is>
          <t>三亚国际免税城</t>
        </is>
      </c>
      <c r="B4" s="4" t="inlineStr">
        <is>
          <t>大地</t>
        </is>
      </c>
      <c r="C4" s="4" t="inlineStr">
        <is>
          <t>DIOR</t>
        </is>
      </c>
      <c r="D4" s="5" t="n">
        <v>46</v>
      </c>
      <c r="E4" s="5" t="n">
        <v>32</v>
      </c>
      <c r="F4" s="5" t="n">
        <v>90</v>
      </c>
      <c r="G4" s="6" t="n">
        <v>1.2</v>
      </c>
      <c r="H4" s="7" t="n">
        <v>38.3</v>
      </c>
      <c r="I4" s="8" t="inlineStr">
        <is>
          <t>🟡 偏低</t>
        </is>
      </c>
      <c r="J4" s="9" t="n">
        <v>18</v>
      </c>
    </row>
    <row r="5">
      <c r="A5" s="4" t="inlineStr">
        <is>
          <t>三亚国际免税城</t>
        </is>
      </c>
      <c r="B5" s="4" t="inlineStr">
        <is>
          <t>蓝风铃</t>
        </is>
      </c>
      <c r="C5" s="4" t="inlineStr">
        <is>
          <t>HERMES</t>
        </is>
      </c>
      <c r="D5" s="5" t="n">
        <v>84</v>
      </c>
      <c r="E5" s="5" t="n">
        <v>28</v>
      </c>
      <c r="F5" s="5" t="n">
        <v>75</v>
      </c>
      <c r="G5" s="6" t="n">
        <v>1.8</v>
      </c>
      <c r="H5" s="7" t="n">
        <v>46.7</v>
      </c>
      <c r="I5" s="8" t="inlineStr">
        <is>
          <t>✅ 正常</t>
        </is>
      </c>
      <c r="J5" s="9" t="n">
        <v>0</v>
      </c>
    </row>
    <row r="6">
      <c r="A6" s="4" t="inlineStr">
        <is>
          <t>三亚国际免税城</t>
        </is>
      </c>
      <c r="B6" s="4" t="inlineStr">
        <is>
          <t>乌木沉香</t>
        </is>
      </c>
      <c r="C6" s="4" t="inlineStr">
        <is>
          <t>BVLGARI</t>
        </is>
      </c>
      <c r="D6" s="5" t="n">
        <v>97</v>
      </c>
      <c r="E6" s="5" t="n">
        <v>64</v>
      </c>
      <c r="F6" s="5" t="n">
        <v>150</v>
      </c>
      <c r="G6" s="6" t="n">
        <v>0.7</v>
      </c>
      <c r="H6" s="7" t="n">
        <v>138.6</v>
      </c>
      <c r="I6" s="8" t="inlineStr">
        <is>
          <t>✅ 正常</t>
        </is>
      </c>
      <c r="J6" s="9" t="n">
        <v>0</v>
      </c>
    </row>
    <row r="7">
      <c r="A7" s="4" t="inlineStr">
        <is>
          <t>三亚国际免税城</t>
        </is>
      </c>
      <c r="B7" s="4" t="inlineStr">
        <is>
          <t>罪爱</t>
        </is>
      </c>
      <c r="C7" s="4" t="inlineStr">
        <is>
          <t>JO MALONE</t>
        </is>
      </c>
      <c r="D7" s="5" t="n">
        <v>88</v>
      </c>
      <c r="E7" s="5" t="n">
        <v>36</v>
      </c>
      <c r="F7" s="5" t="n">
        <v>95</v>
      </c>
      <c r="G7" s="6" t="n">
        <v>2.1</v>
      </c>
      <c r="H7" s="7" t="n">
        <v>41.9</v>
      </c>
      <c r="I7" s="8" t="inlineStr">
        <is>
          <t>✅ 正常</t>
        </is>
      </c>
      <c r="J7" s="9" t="n">
        <v>0</v>
      </c>
    </row>
    <row r="8">
      <c r="A8" s="4" t="inlineStr">
        <is>
          <t>三亚国际免税城</t>
        </is>
      </c>
      <c r="B8" s="4" t="inlineStr">
        <is>
          <t>寄情</t>
        </is>
      </c>
      <c r="C8" s="4" t="inlineStr">
        <is>
          <t>GUCCI</t>
        </is>
      </c>
      <c r="D8" s="5" t="n">
        <v>103</v>
      </c>
      <c r="E8" s="5" t="n">
        <v>44</v>
      </c>
      <c r="F8" s="5" t="n">
        <v>110</v>
      </c>
      <c r="G8" s="6" t="n">
        <v>1.2</v>
      </c>
      <c r="H8" s="7" t="n">
        <v>85.8</v>
      </c>
      <c r="I8" s="8" t="inlineStr">
        <is>
          <t>✅ 正常</t>
        </is>
      </c>
      <c r="J8" s="9" t="n">
        <v>0</v>
      </c>
    </row>
    <row r="9">
      <c r="A9" s="4" t="inlineStr">
        <is>
          <t>三亚国际免税城</t>
        </is>
      </c>
      <c r="B9" s="4" t="inlineStr">
        <is>
          <t>大吉岭茶</t>
        </is>
      </c>
      <c r="C9" s="4" t="inlineStr">
        <is>
          <t>YSL</t>
        </is>
      </c>
      <c r="D9" s="5" t="n">
        <v>62</v>
      </c>
      <c r="E9" s="5" t="n">
        <v>48</v>
      </c>
      <c r="F9" s="5" t="n">
        <v>120</v>
      </c>
      <c r="G9" s="6" t="n">
        <v>0.8</v>
      </c>
      <c r="H9" s="7" t="n">
        <v>77.5</v>
      </c>
      <c r="I9" s="8" t="inlineStr">
        <is>
          <t>🟡 偏低</t>
        </is>
      </c>
      <c r="J9" s="9" t="n">
        <v>34</v>
      </c>
    </row>
    <row r="10">
      <c r="A10" s="4" t="inlineStr">
        <is>
          <t>海口国际免税城</t>
        </is>
      </c>
      <c r="B10" s="4" t="inlineStr">
        <is>
          <t>香奈儿5号</t>
        </is>
      </c>
      <c r="C10" s="4" t="inlineStr">
        <is>
          <t>GUCCI</t>
        </is>
      </c>
      <c r="D10" s="5" t="n">
        <v>98</v>
      </c>
      <c r="E10" s="5" t="n">
        <v>40</v>
      </c>
      <c r="F10" s="5" t="n">
        <v>100</v>
      </c>
      <c r="G10" s="6" t="n">
        <v>2.9</v>
      </c>
      <c r="H10" s="7" t="n">
        <v>33.8</v>
      </c>
      <c r="I10" s="8" t="inlineStr">
        <is>
          <t>✅ 正常</t>
        </is>
      </c>
      <c r="J10" s="9" t="n">
        <v>0</v>
      </c>
    </row>
    <row r="11">
      <c r="A11" s="4" t="inlineStr">
        <is>
          <t>海口国际免税城</t>
        </is>
      </c>
      <c r="B11" s="4" t="inlineStr">
        <is>
          <t>迪奥小姐</t>
        </is>
      </c>
      <c r="C11" s="4" t="inlineStr">
        <is>
          <t>BVLGARI</t>
        </is>
      </c>
      <c r="D11" s="5" t="n">
        <v>63</v>
      </c>
      <c r="E11" s="5" t="n">
        <v>24</v>
      </c>
      <c r="F11" s="5" t="n">
        <v>80</v>
      </c>
      <c r="G11" s="6" t="n">
        <v>1.9</v>
      </c>
      <c r="H11" s="7" t="n">
        <v>33.2</v>
      </c>
      <c r="I11" s="8" t="inlineStr">
        <is>
          <t>✅ 正常</t>
        </is>
      </c>
      <c r="J11" s="9" t="n">
        <v>0</v>
      </c>
    </row>
    <row r="12">
      <c r="A12" s="4" t="inlineStr">
        <is>
          <t>海口国际免税城</t>
        </is>
      </c>
      <c r="B12" s="4" t="inlineStr">
        <is>
          <t>大地</t>
        </is>
      </c>
      <c r="C12" s="4" t="inlineStr">
        <is>
          <t>TOM FORD</t>
        </is>
      </c>
      <c r="D12" s="5" t="n">
        <v>29</v>
      </c>
      <c r="E12" s="5" t="n">
        <v>32</v>
      </c>
      <c r="F12" s="5" t="n">
        <v>90</v>
      </c>
      <c r="G12" s="6" t="n">
        <v>2.1</v>
      </c>
      <c r="H12" s="7" t="n">
        <v>13.8</v>
      </c>
      <c r="I12" s="8" t="inlineStr">
        <is>
          <t>⚠️ 预警</t>
        </is>
      </c>
      <c r="J12" s="9" t="n">
        <v>35</v>
      </c>
    </row>
    <row r="13">
      <c r="A13" s="4" t="inlineStr">
        <is>
          <t>海口国际免税城</t>
        </is>
      </c>
      <c r="B13" s="4" t="inlineStr">
        <is>
          <t>蓝风铃</t>
        </is>
      </c>
      <c r="C13" s="4" t="inlineStr">
        <is>
          <t>LOEWE</t>
        </is>
      </c>
      <c r="D13" s="5" t="n">
        <v>22</v>
      </c>
      <c r="E13" s="5" t="n">
        <v>28</v>
      </c>
      <c r="F13" s="5" t="n">
        <v>75</v>
      </c>
      <c r="G13" s="6" t="n">
        <v>2.2</v>
      </c>
      <c r="H13" s="7" t="n">
        <v>10</v>
      </c>
      <c r="I13" s="8" t="inlineStr">
        <is>
          <t>⚠️ 预警</t>
        </is>
      </c>
      <c r="J13" s="9" t="n">
        <v>34</v>
      </c>
    </row>
    <row r="14">
      <c r="A14" s="4" t="inlineStr">
        <is>
          <t>海口国际免税城</t>
        </is>
      </c>
      <c r="B14" s="4" t="inlineStr">
        <is>
          <t>乌木沉香</t>
        </is>
      </c>
      <c r="C14" s="4" t="inlineStr">
        <is>
          <t>HERMES</t>
        </is>
      </c>
      <c r="D14" s="5" t="n">
        <v>65</v>
      </c>
      <c r="E14" s="5" t="n">
        <v>64</v>
      </c>
      <c r="F14" s="5" t="n">
        <v>150</v>
      </c>
      <c r="G14" s="6" t="n">
        <v>2.3</v>
      </c>
      <c r="H14" s="7" t="n">
        <v>28.3</v>
      </c>
      <c r="I14" s="8" t="inlineStr">
        <is>
          <t>🟡 偏低</t>
        </is>
      </c>
      <c r="J14" s="9" t="n">
        <v>63</v>
      </c>
    </row>
    <row r="15">
      <c r="A15" s="4" t="inlineStr">
        <is>
          <t>海口国际免税城</t>
        </is>
      </c>
      <c r="B15" s="4" t="inlineStr">
        <is>
          <t>罪爱</t>
        </is>
      </c>
      <c r="C15" s="4" t="inlineStr">
        <is>
          <t>ARMANI</t>
        </is>
      </c>
      <c r="D15" s="5" t="n">
        <v>50</v>
      </c>
      <c r="E15" s="5" t="n">
        <v>36</v>
      </c>
      <c r="F15" s="5" t="n">
        <v>95</v>
      </c>
      <c r="G15" s="6" t="n">
        <v>0.7</v>
      </c>
      <c r="H15" s="7" t="n">
        <v>71.40000000000001</v>
      </c>
      <c r="I15" s="8" t="inlineStr">
        <is>
          <t>🟡 偏低</t>
        </is>
      </c>
      <c r="J15" s="9" t="n">
        <v>22</v>
      </c>
    </row>
    <row r="16">
      <c r="A16" s="4" t="inlineStr">
        <is>
          <t>海口国际免税城</t>
        </is>
      </c>
      <c r="B16" s="4" t="inlineStr">
        <is>
          <t>寄情</t>
        </is>
      </c>
      <c r="C16" s="4" t="inlineStr">
        <is>
          <t>DIOR</t>
        </is>
      </c>
      <c r="D16" s="5" t="n">
        <v>33</v>
      </c>
      <c r="E16" s="5" t="n">
        <v>44</v>
      </c>
      <c r="F16" s="5" t="n">
        <v>110</v>
      </c>
      <c r="G16" s="6" t="n">
        <v>1.8</v>
      </c>
      <c r="H16" s="7" t="n">
        <v>18.3</v>
      </c>
      <c r="I16" s="8" t="inlineStr">
        <is>
          <t>⚠️ 预警</t>
        </is>
      </c>
      <c r="J16" s="9" t="n">
        <v>55</v>
      </c>
    </row>
    <row r="17">
      <c r="A17" s="4" t="inlineStr">
        <is>
          <t>海口国际免税城</t>
        </is>
      </c>
      <c r="B17" s="4" t="inlineStr">
        <is>
          <t>大吉岭茶</t>
        </is>
      </c>
      <c r="C17" s="4" t="inlineStr">
        <is>
          <t>DIOR</t>
        </is>
      </c>
      <c r="D17" s="5" t="n">
        <v>69</v>
      </c>
      <c r="E17" s="5" t="n">
        <v>48</v>
      </c>
      <c r="F17" s="5" t="n">
        <v>120</v>
      </c>
      <c r="G17" s="6" t="n">
        <v>2.3</v>
      </c>
      <c r="H17" s="7" t="n">
        <v>30</v>
      </c>
      <c r="I17" s="8" t="inlineStr">
        <is>
          <t>🟡 偏低</t>
        </is>
      </c>
      <c r="J17" s="9" t="n">
        <v>27</v>
      </c>
    </row>
    <row r="18">
      <c r="A18" s="4" t="inlineStr">
        <is>
          <t>海口日月广场免税店</t>
        </is>
      </c>
      <c r="B18" s="4" t="inlineStr">
        <is>
          <t>香奈儿5号</t>
        </is>
      </c>
      <c r="C18" s="4" t="inlineStr">
        <is>
          <t>TOM FORD</t>
        </is>
      </c>
      <c r="D18" s="5" t="n">
        <v>40</v>
      </c>
      <c r="E18" s="5" t="n">
        <v>40</v>
      </c>
      <c r="F18" s="5" t="n">
        <v>100</v>
      </c>
      <c r="G18" s="6" t="n">
        <v>2.9</v>
      </c>
      <c r="H18" s="7" t="n">
        <v>13.8</v>
      </c>
      <c r="I18" s="8" t="inlineStr">
        <is>
          <t>🟡 偏低</t>
        </is>
      </c>
      <c r="J18" s="9" t="n">
        <v>40</v>
      </c>
    </row>
    <row r="19">
      <c r="A19" s="4" t="inlineStr">
        <is>
          <t>海口日月广场免税店</t>
        </is>
      </c>
      <c r="B19" s="4" t="inlineStr">
        <is>
          <t>迪奥小姐</t>
        </is>
      </c>
      <c r="C19" s="4" t="inlineStr">
        <is>
          <t>DIOR</t>
        </is>
      </c>
      <c r="D19" s="5" t="n">
        <v>44</v>
      </c>
      <c r="E19" s="5" t="n">
        <v>24</v>
      </c>
      <c r="F19" s="5" t="n">
        <v>80</v>
      </c>
      <c r="G19" s="6" t="n">
        <v>1.3</v>
      </c>
      <c r="H19" s="7" t="n">
        <v>33.8</v>
      </c>
      <c r="I19" s="8" t="inlineStr">
        <is>
          <t>✅ 正常</t>
        </is>
      </c>
      <c r="J19" s="9" t="n">
        <v>0</v>
      </c>
    </row>
    <row r="20">
      <c r="A20" s="4" t="inlineStr">
        <is>
          <t>海口日月广场免税店</t>
        </is>
      </c>
      <c r="B20" s="4" t="inlineStr">
        <is>
          <t>大地</t>
        </is>
      </c>
      <c r="C20" s="4" t="inlineStr">
        <is>
          <t>GUCCI</t>
        </is>
      </c>
      <c r="D20" s="5" t="n">
        <v>59</v>
      </c>
      <c r="E20" s="5" t="n">
        <v>32</v>
      </c>
      <c r="F20" s="5" t="n">
        <v>90</v>
      </c>
      <c r="G20" s="6" t="n">
        <v>2.7</v>
      </c>
      <c r="H20" s="7" t="n">
        <v>21.9</v>
      </c>
      <c r="I20" s="8" t="inlineStr">
        <is>
          <t>✅ 正常</t>
        </is>
      </c>
      <c r="J20" s="9" t="n">
        <v>0</v>
      </c>
    </row>
    <row r="21">
      <c r="A21" s="4" t="inlineStr">
        <is>
          <t>海口日月广场免税店</t>
        </is>
      </c>
      <c r="B21" s="4" t="inlineStr">
        <is>
          <t>蓝风铃</t>
        </is>
      </c>
      <c r="C21" s="4" t="inlineStr">
        <is>
          <t>YSL</t>
        </is>
      </c>
      <c r="D21" s="5" t="n">
        <v>77</v>
      </c>
      <c r="E21" s="5" t="n">
        <v>28</v>
      </c>
      <c r="F21" s="5" t="n">
        <v>75</v>
      </c>
      <c r="G21" s="6" t="n">
        <v>2.9</v>
      </c>
      <c r="H21" s="7" t="n">
        <v>26.6</v>
      </c>
      <c r="I21" s="8" t="inlineStr">
        <is>
          <t>✅ 正常</t>
        </is>
      </c>
      <c r="J21" s="9" t="n">
        <v>0</v>
      </c>
    </row>
    <row r="22">
      <c r="A22" s="4" t="inlineStr">
        <is>
          <t>海口日月广场免税店</t>
        </is>
      </c>
      <c r="B22" s="4" t="inlineStr">
        <is>
          <t>乌木沉香</t>
        </is>
      </c>
      <c r="C22" s="4" t="inlineStr">
        <is>
          <t>LOEWE</t>
        </is>
      </c>
      <c r="D22" s="5" t="n">
        <v>44</v>
      </c>
      <c r="E22" s="5" t="n">
        <v>64</v>
      </c>
      <c r="F22" s="5" t="n">
        <v>150</v>
      </c>
      <c r="G22" s="6" t="n">
        <v>1</v>
      </c>
      <c r="H22" s="7" t="n">
        <v>44</v>
      </c>
      <c r="I22" s="8" t="inlineStr">
        <is>
          <t>⚠️ 预警</t>
        </is>
      </c>
      <c r="J22" s="9" t="n">
        <v>84</v>
      </c>
    </row>
    <row r="23">
      <c r="A23" s="4" t="inlineStr">
        <is>
          <t>海口日月广场免税店</t>
        </is>
      </c>
      <c r="B23" s="4" t="inlineStr">
        <is>
          <t>罪爱</t>
        </is>
      </c>
      <c r="C23" s="4" t="inlineStr">
        <is>
          <t>LOEWE</t>
        </is>
      </c>
      <c r="D23" s="5" t="n">
        <v>40</v>
      </c>
      <c r="E23" s="5" t="n">
        <v>36</v>
      </c>
      <c r="F23" s="5" t="n">
        <v>95</v>
      </c>
      <c r="G23" s="6" t="n">
        <v>2.9</v>
      </c>
      <c r="H23" s="7" t="n">
        <v>13.8</v>
      </c>
      <c r="I23" s="8" t="inlineStr">
        <is>
          <t>🟡 偏低</t>
        </is>
      </c>
      <c r="J23" s="9" t="n">
        <v>32</v>
      </c>
    </row>
    <row r="24">
      <c r="A24" s="4" t="inlineStr">
        <is>
          <t>海口日月广场免税店</t>
        </is>
      </c>
      <c r="B24" s="4" t="inlineStr">
        <is>
          <t>寄情</t>
        </is>
      </c>
      <c r="C24" s="4" t="inlineStr">
        <is>
          <t>LOEWE</t>
        </is>
      </c>
      <c r="D24" s="5" t="n">
        <v>48</v>
      </c>
      <c r="E24" s="5" t="n">
        <v>44</v>
      </c>
      <c r="F24" s="5" t="n">
        <v>110</v>
      </c>
      <c r="G24" s="6" t="n">
        <v>2.7</v>
      </c>
      <c r="H24" s="7" t="n">
        <v>17.8</v>
      </c>
      <c r="I24" s="8" t="inlineStr">
        <is>
          <t>🟡 偏低</t>
        </is>
      </c>
      <c r="J24" s="9" t="n">
        <v>40</v>
      </c>
    </row>
    <row r="25">
      <c r="A25" s="4" t="inlineStr">
        <is>
          <t>海口日月广场免税店</t>
        </is>
      </c>
      <c r="B25" s="4" t="inlineStr">
        <is>
          <t>大吉岭茶</t>
        </is>
      </c>
      <c r="C25" s="4" t="inlineStr">
        <is>
          <t>TOM FORD</t>
        </is>
      </c>
      <c r="D25" s="5" t="n">
        <v>140</v>
      </c>
      <c r="E25" s="5" t="n">
        <v>48</v>
      </c>
      <c r="F25" s="5" t="n">
        <v>120</v>
      </c>
      <c r="G25" s="6" t="n">
        <v>1</v>
      </c>
      <c r="H25" s="7" t="n">
        <v>140</v>
      </c>
      <c r="I25" s="8" t="inlineStr">
        <is>
          <t>✅ 正常</t>
        </is>
      </c>
      <c r="J25" s="9" t="n">
        <v>0</v>
      </c>
    </row>
    <row r="26">
      <c r="A26" s="4" t="inlineStr">
        <is>
          <t>海口美兰机场免税店</t>
        </is>
      </c>
      <c r="B26" s="4" t="inlineStr">
        <is>
          <t>香奈儿5号</t>
        </is>
      </c>
      <c r="C26" s="4" t="inlineStr">
        <is>
          <t>LOEWE</t>
        </is>
      </c>
      <c r="D26" s="5" t="n">
        <v>41</v>
      </c>
      <c r="E26" s="5" t="n">
        <v>40</v>
      </c>
      <c r="F26" s="5" t="n">
        <v>100</v>
      </c>
      <c r="G26" s="6" t="n">
        <v>2.1</v>
      </c>
      <c r="H26" s="7" t="n">
        <v>19.5</v>
      </c>
      <c r="I26" s="8" t="inlineStr">
        <is>
          <t>🟡 偏低</t>
        </is>
      </c>
      <c r="J26" s="9" t="n">
        <v>39</v>
      </c>
    </row>
    <row r="27">
      <c r="A27" s="4" t="inlineStr">
        <is>
          <t>海口美兰机场免税店</t>
        </is>
      </c>
      <c r="B27" s="4" t="inlineStr">
        <is>
          <t>迪奥小姐</t>
        </is>
      </c>
      <c r="C27" s="4" t="inlineStr">
        <is>
          <t>TOM FORD</t>
        </is>
      </c>
      <c r="D27" s="5" t="n">
        <v>18</v>
      </c>
      <c r="E27" s="5" t="n">
        <v>24</v>
      </c>
      <c r="F27" s="5" t="n">
        <v>80</v>
      </c>
      <c r="G27" s="6" t="n">
        <v>2.9</v>
      </c>
      <c r="H27" s="7" t="n">
        <v>6.2</v>
      </c>
      <c r="I27" s="8" t="inlineStr">
        <is>
          <t>⚠️ 预警</t>
        </is>
      </c>
      <c r="J27" s="9" t="n">
        <v>30</v>
      </c>
    </row>
    <row r="28">
      <c r="A28" s="4" t="inlineStr">
        <is>
          <t>海口美兰机场免税店</t>
        </is>
      </c>
      <c r="B28" s="4" t="inlineStr">
        <is>
          <t>大地</t>
        </is>
      </c>
      <c r="C28" s="4" t="inlineStr">
        <is>
          <t>TOM FORD</t>
        </is>
      </c>
      <c r="D28" s="5" t="n">
        <v>40</v>
      </c>
      <c r="E28" s="5" t="n">
        <v>32</v>
      </c>
      <c r="F28" s="5" t="n">
        <v>90</v>
      </c>
      <c r="G28" s="6" t="n">
        <v>1</v>
      </c>
      <c r="H28" s="7" t="n">
        <v>40</v>
      </c>
      <c r="I28" s="8" t="inlineStr">
        <is>
          <t>🟡 偏低</t>
        </is>
      </c>
      <c r="J28" s="9" t="n">
        <v>24</v>
      </c>
    </row>
    <row r="29">
      <c r="A29" s="4" t="inlineStr">
        <is>
          <t>海口美兰机场免税店</t>
        </is>
      </c>
      <c r="B29" s="4" t="inlineStr">
        <is>
          <t>蓝风铃</t>
        </is>
      </c>
      <c r="C29" s="4" t="inlineStr">
        <is>
          <t>TOM FORD</t>
        </is>
      </c>
      <c r="D29" s="5" t="n">
        <v>25</v>
      </c>
      <c r="E29" s="5" t="n">
        <v>28</v>
      </c>
      <c r="F29" s="5" t="n">
        <v>75</v>
      </c>
      <c r="G29" s="6" t="n">
        <v>1.1</v>
      </c>
      <c r="H29" s="7" t="n">
        <v>22.7</v>
      </c>
      <c r="I29" s="8" t="inlineStr">
        <is>
          <t>⚠️ 预警</t>
        </is>
      </c>
      <c r="J29" s="9" t="n">
        <v>31</v>
      </c>
    </row>
    <row r="30">
      <c r="A30" s="4" t="inlineStr">
        <is>
          <t>海口美兰机场免税店</t>
        </is>
      </c>
      <c r="B30" s="4" t="inlineStr">
        <is>
          <t>乌木沉香</t>
        </is>
      </c>
      <c r="C30" s="4" t="inlineStr">
        <is>
          <t>HERMES</t>
        </is>
      </c>
      <c r="D30" s="5" t="n">
        <v>128</v>
      </c>
      <c r="E30" s="5" t="n">
        <v>64</v>
      </c>
      <c r="F30" s="5" t="n">
        <v>150</v>
      </c>
      <c r="G30" s="6" t="n">
        <v>1.5</v>
      </c>
      <c r="H30" s="7" t="n">
        <v>85.3</v>
      </c>
      <c r="I30" s="8" t="inlineStr">
        <is>
          <t>✅ 正常</t>
        </is>
      </c>
      <c r="J30" s="9" t="n">
        <v>0</v>
      </c>
    </row>
    <row r="31">
      <c r="A31" s="4" t="inlineStr">
        <is>
          <t>海口美兰机场免税店</t>
        </is>
      </c>
      <c r="B31" s="4" t="inlineStr">
        <is>
          <t>罪爱</t>
        </is>
      </c>
      <c r="C31" s="4" t="inlineStr">
        <is>
          <t>GUCCI</t>
        </is>
      </c>
      <c r="D31" s="5" t="n">
        <v>70</v>
      </c>
      <c r="E31" s="5" t="n">
        <v>36</v>
      </c>
      <c r="F31" s="5" t="n">
        <v>95</v>
      </c>
      <c r="G31" s="6" t="n">
        <v>1.5</v>
      </c>
      <c r="H31" s="7" t="n">
        <v>46.7</v>
      </c>
      <c r="I31" s="8" t="inlineStr">
        <is>
          <t>✅ 正常</t>
        </is>
      </c>
      <c r="J31" s="9" t="n">
        <v>0</v>
      </c>
    </row>
    <row r="32">
      <c r="A32" s="4" t="inlineStr">
        <is>
          <t>海口美兰机场免税店</t>
        </is>
      </c>
      <c r="B32" s="4" t="inlineStr">
        <is>
          <t>寄情</t>
        </is>
      </c>
      <c r="C32" s="4" t="inlineStr">
        <is>
          <t>YSL</t>
        </is>
      </c>
      <c r="D32" s="5" t="n">
        <v>57</v>
      </c>
      <c r="E32" s="5" t="n">
        <v>44</v>
      </c>
      <c r="F32" s="5" t="n">
        <v>110</v>
      </c>
      <c r="G32" s="6" t="n">
        <v>2.2</v>
      </c>
      <c r="H32" s="7" t="n">
        <v>25.9</v>
      </c>
      <c r="I32" s="8" t="inlineStr">
        <is>
          <t>🟡 偏低</t>
        </is>
      </c>
      <c r="J32" s="9" t="n">
        <v>31</v>
      </c>
    </row>
    <row r="33">
      <c r="A33" s="4" t="inlineStr">
        <is>
          <t>海口美兰机场免税店</t>
        </is>
      </c>
      <c r="B33" s="4" t="inlineStr">
        <is>
          <t>大吉岭茶</t>
        </is>
      </c>
      <c r="C33" s="4" t="inlineStr">
        <is>
          <t>BVLGARI</t>
        </is>
      </c>
      <c r="D33" s="5" t="n">
        <v>123</v>
      </c>
      <c r="E33" s="5" t="n">
        <v>48</v>
      </c>
      <c r="F33" s="5" t="n">
        <v>120</v>
      </c>
      <c r="G33" s="6" t="n">
        <v>1.2</v>
      </c>
      <c r="H33" s="7" t="n">
        <v>102.5</v>
      </c>
      <c r="I33" s="8" t="inlineStr">
        <is>
          <t>✅ 正常</t>
        </is>
      </c>
      <c r="J33" s="9" t="n">
        <v>0</v>
      </c>
    </row>
    <row r="34">
      <c r="A34" s="4" t="inlineStr">
        <is>
          <t>三亚凤凰机场免税店</t>
        </is>
      </c>
      <c r="B34" s="4" t="inlineStr">
        <is>
          <t>香奈儿5号</t>
        </is>
      </c>
      <c r="C34" s="4" t="inlineStr">
        <is>
          <t>BVLGARI</t>
        </is>
      </c>
      <c r="D34" s="5" t="n">
        <v>17</v>
      </c>
      <c r="E34" s="5" t="n">
        <v>40</v>
      </c>
      <c r="F34" s="5" t="n">
        <v>100</v>
      </c>
      <c r="G34" s="6" t="n">
        <v>0.6</v>
      </c>
      <c r="H34" s="7" t="n">
        <v>28.3</v>
      </c>
      <c r="I34" s="8" t="inlineStr">
        <is>
          <t>⚠️ 预警</t>
        </is>
      </c>
      <c r="J34" s="9" t="n">
        <v>63</v>
      </c>
    </row>
    <row r="35">
      <c r="A35" s="4" t="inlineStr">
        <is>
          <t>三亚凤凰机场免税店</t>
        </is>
      </c>
      <c r="B35" s="4" t="inlineStr">
        <is>
          <t>迪奥小姐</t>
        </is>
      </c>
      <c r="C35" s="4" t="inlineStr">
        <is>
          <t>DIOR</t>
        </is>
      </c>
      <c r="D35" s="5" t="n">
        <v>67</v>
      </c>
      <c r="E35" s="5" t="n">
        <v>24</v>
      </c>
      <c r="F35" s="5" t="n">
        <v>80</v>
      </c>
      <c r="G35" s="6" t="n">
        <v>1.5</v>
      </c>
      <c r="H35" s="7" t="n">
        <v>44.7</v>
      </c>
      <c r="I35" s="8" t="inlineStr">
        <is>
          <t>✅ 正常</t>
        </is>
      </c>
      <c r="J35" s="9" t="n">
        <v>0</v>
      </c>
    </row>
    <row r="36">
      <c r="A36" s="4" t="inlineStr">
        <is>
          <t>三亚凤凰机场免税店</t>
        </is>
      </c>
      <c r="B36" s="4" t="inlineStr">
        <is>
          <t>大地</t>
        </is>
      </c>
      <c r="C36" s="4" t="inlineStr">
        <is>
          <t>YSL</t>
        </is>
      </c>
      <c r="D36" s="5" t="n">
        <v>38</v>
      </c>
      <c r="E36" s="5" t="n">
        <v>32</v>
      </c>
      <c r="F36" s="5" t="n">
        <v>90</v>
      </c>
      <c r="G36" s="6" t="n">
        <v>2.9</v>
      </c>
      <c r="H36" s="7" t="n">
        <v>13.1</v>
      </c>
      <c r="I36" s="8" t="inlineStr">
        <is>
          <t>🟡 偏低</t>
        </is>
      </c>
      <c r="J36" s="9" t="n">
        <v>26</v>
      </c>
    </row>
    <row r="37">
      <c r="A37" s="4" t="inlineStr">
        <is>
          <t>三亚凤凰机场免税店</t>
        </is>
      </c>
      <c r="B37" s="4" t="inlineStr">
        <is>
          <t>蓝风铃</t>
        </is>
      </c>
      <c r="C37" s="4" t="inlineStr">
        <is>
          <t>LOEWE</t>
        </is>
      </c>
      <c r="D37" s="5" t="n">
        <v>84</v>
      </c>
      <c r="E37" s="5" t="n">
        <v>28</v>
      </c>
      <c r="F37" s="5" t="n">
        <v>75</v>
      </c>
      <c r="G37" s="6" t="n">
        <v>1.7</v>
      </c>
      <c r="H37" s="7" t="n">
        <v>49.4</v>
      </c>
      <c r="I37" s="8" t="inlineStr">
        <is>
          <t>✅ 正常</t>
        </is>
      </c>
      <c r="J37" s="9" t="n">
        <v>0</v>
      </c>
    </row>
    <row r="38">
      <c r="A38" s="4" t="inlineStr">
        <is>
          <t>三亚凤凰机场免税店</t>
        </is>
      </c>
      <c r="B38" s="4" t="inlineStr">
        <is>
          <t>乌木沉香</t>
        </is>
      </c>
      <c r="C38" s="4" t="inlineStr">
        <is>
          <t>YSL</t>
        </is>
      </c>
      <c r="D38" s="5" t="n">
        <v>39</v>
      </c>
      <c r="E38" s="5" t="n">
        <v>64</v>
      </c>
      <c r="F38" s="5" t="n">
        <v>150</v>
      </c>
      <c r="G38" s="6" t="n">
        <v>2.1</v>
      </c>
      <c r="H38" s="7" t="n">
        <v>18.6</v>
      </c>
      <c r="I38" s="8" t="inlineStr">
        <is>
          <t>⚠️ 预警</t>
        </is>
      </c>
      <c r="J38" s="9" t="n">
        <v>89</v>
      </c>
    </row>
    <row r="39">
      <c r="A39" s="4" t="inlineStr">
        <is>
          <t>三亚凤凰机场免税店</t>
        </is>
      </c>
      <c r="B39" s="4" t="inlineStr">
        <is>
          <t>罪爱</t>
        </is>
      </c>
      <c r="C39" s="4" t="inlineStr">
        <is>
          <t>HERMES</t>
        </is>
      </c>
      <c r="D39" s="5" t="n">
        <v>105</v>
      </c>
      <c r="E39" s="5" t="n">
        <v>36</v>
      </c>
      <c r="F39" s="5" t="n">
        <v>95</v>
      </c>
      <c r="G39" s="6" t="n">
        <v>1.7</v>
      </c>
      <c r="H39" s="7" t="n">
        <v>61.8</v>
      </c>
      <c r="I39" s="8" t="inlineStr">
        <is>
          <t>✅ 正常</t>
        </is>
      </c>
      <c r="J39" s="9" t="n">
        <v>0</v>
      </c>
    </row>
    <row r="40">
      <c r="A40" s="4" t="inlineStr">
        <is>
          <t>三亚凤凰机场免税店</t>
        </is>
      </c>
      <c r="B40" s="4" t="inlineStr">
        <is>
          <t>寄情</t>
        </is>
      </c>
      <c r="C40" s="4" t="inlineStr">
        <is>
          <t>GUCCI</t>
        </is>
      </c>
      <c r="D40" s="5" t="n">
        <v>122</v>
      </c>
      <c r="E40" s="5" t="n">
        <v>44</v>
      </c>
      <c r="F40" s="5" t="n">
        <v>110</v>
      </c>
      <c r="G40" s="6" t="n">
        <v>1.9</v>
      </c>
      <c r="H40" s="7" t="n">
        <v>64.2</v>
      </c>
      <c r="I40" s="8" t="inlineStr">
        <is>
          <t>✅ 正常</t>
        </is>
      </c>
      <c r="J40" s="9" t="n">
        <v>0</v>
      </c>
    </row>
    <row r="41">
      <c r="A41" s="4" t="inlineStr">
        <is>
          <t>三亚凤凰机场免税店</t>
        </is>
      </c>
      <c r="B41" s="4" t="inlineStr">
        <is>
          <t>大吉岭茶</t>
        </is>
      </c>
      <c r="C41" s="4" t="inlineStr">
        <is>
          <t>BVLGARI</t>
        </is>
      </c>
      <c r="D41" s="5" t="n">
        <v>85</v>
      </c>
      <c r="E41" s="5" t="n">
        <v>48</v>
      </c>
      <c r="F41" s="5" t="n">
        <v>120</v>
      </c>
      <c r="G41" s="6" t="n">
        <v>1.2</v>
      </c>
      <c r="H41" s="7" t="n">
        <v>70.8</v>
      </c>
      <c r="I41" s="8" t="inlineStr">
        <is>
          <t>✅ 正常</t>
        </is>
      </c>
      <c r="J41" s="9" t="n">
        <v>0</v>
      </c>
    </row>
    <row r="42">
      <c r="A42" s="4" t="inlineStr">
        <is>
          <t>海旅免税城</t>
        </is>
      </c>
      <c r="B42" s="4" t="inlineStr">
        <is>
          <t>香奈儿5号</t>
        </is>
      </c>
      <c r="C42" s="4" t="inlineStr">
        <is>
          <t>DIOR</t>
        </is>
      </c>
      <c r="D42" s="5" t="n">
        <v>114</v>
      </c>
      <c r="E42" s="5" t="n">
        <v>40</v>
      </c>
      <c r="F42" s="5" t="n">
        <v>100</v>
      </c>
      <c r="G42" s="6" t="n">
        <v>2.4</v>
      </c>
      <c r="H42" s="7" t="n">
        <v>47.5</v>
      </c>
      <c r="I42" s="8" t="inlineStr">
        <is>
          <t>✅ 正常</t>
        </is>
      </c>
      <c r="J42" s="9" t="n">
        <v>0</v>
      </c>
    </row>
    <row r="43">
      <c r="A43" s="4" t="inlineStr">
        <is>
          <t>海旅免税城</t>
        </is>
      </c>
      <c r="B43" s="4" t="inlineStr">
        <is>
          <t>迪奥小姐</t>
        </is>
      </c>
      <c r="C43" s="4" t="inlineStr">
        <is>
          <t>JO MALONE</t>
        </is>
      </c>
      <c r="D43" s="5" t="n">
        <v>61</v>
      </c>
      <c r="E43" s="5" t="n">
        <v>24</v>
      </c>
      <c r="F43" s="5" t="n">
        <v>80</v>
      </c>
      <c r="G43" s="6" t="n">
        <v>1.2</v>
      </c>
      <c r="H43" s="7" t="n">
        <v>50.8</v>
      </c>
      <c r="I43" s="8" t="inlineStr">
        <is>
          <t>✅ 正常</t>
        </is>
      </c>
      <c r="J43" s="9" t="n">
        <v>0</v>
      </c>
    </row>
    <row r="44">
      <c r="A44" s="4" t="inlineStr">
        <is>
          <t>海旅免税城</t>
        </is>
      </c>
      <c r="B44" s="4" t="inlineStr">
        <is>
          <t>大地</t>
        </is>
      </c>
      <c r="C44" s="4" t="inlineStr">
        <is>
          <t>HERMES</t>
        </is>
      </c>
      <c r="D44" s="5" t="n">
        <v>83</v>
      </c>
      <c r="E44" s="5" t="n">
        <v>32</v>
      </c>
      <c r="F44" s="5" t="n">
        <v>90</v>
      </c>
      <c r="G44" s="6" t="n">
        <v>1.1</v>
      </c>
      <c r="H44" s="7" t="n">
        <v>75.5</v>
      </c>
      <c r="I44" s="8" t="inlineStr">
        <is>
          <t>✅ 正常</t>
        </is>
      </c>
      <c r="J44" s="9" t="n">
        <v>0</v>
      </c>
    </row>
    <row r="45">
      <c r="A45" s="4" t="inlineStr">
        <is>
          <t>海旅免税城</t>
        </is>
      </c>
      <c r="B45" s="4" t="inlineStr">
        <is>
          <t>蓝风铃</t>
        </is>
      </c>
      <c r="C45" s="4" t="inlineStr">
        <is>
          <t>ARMANI</t>
        </is>
      </c>
      <c r="D45" s="5" t="n">
        <v>35</v>
      </c>
      <c r="E45" s="5" t="n">
        <v>28</v>
      </c>
      <c r="F45" s="5" t="n">
        <v>75</v>
      </c>
      <c r="G45" s="6" t="n">
        <v>0.6</v>
      </c>
      <c r="H45" s="7" t="n">
        <v>58.3</v>
      </c>
      <c r="I45" s="8" t="inlineStr">
        <is>
          <t>🟡 偏低</t>
        </is>
      </c>
      <c r="J45" s="9" t="n">
        <v>21</v>
      </c>
    </row>
    <row r="46">
      <c r="A46" s="4" t="inlineStr">
        <is>
          <t>海旅免税城</t>
        </is>
      </c>
      <c r="B46" s="4" t="inlineStr">
        <is>
          <t>乌木沉香</t>
        </is>
      </c>
      <c r="C46" s="4" t="inlineStr">
        <is>
          <t>LOEWE</t>
        </is>
      </c>
      <c r="D46" s="5" t="n">
        <v>43</v>
      </c>
      <c r="E46" s="5" t="n">
        <v>64</v>
      </c>
      <c r="F46" s="5" t="n">
        <v>150</v>
      </c>
      <c r="G46" s="6" t="n">
        <v>2.2</v>
      </c>
      <c r="H46" s="7" t="n">
        <v>19.5</v>
      </c>
      <c r="I46" s="8" t="inlineStr">
        <is>
          <t>⚠️ 预警</t>
        </is>
      </c>
      <c r="J46" s="9" t="n">
        <v>85</v>
      </c>
    </row>
    <row r="47">
      <c r="A47" s="4" t="inlineStr">
        <is>
          <t>海旅免税城</t>
        </is>
      </c>
      <c r="B47" s="4" t="inlineStr">
        <is>
          <t>罪爱</t>
        </is>
      </c>
      <c r="C47" s="4" t="inlineStr">
        <is>
          <t>HERMES</t>
        </is>
      </c>
      <c r="D47" s="5" t="n">
        <v>49</v>
      </c>
      <c r="E47" s="5" t="n">
        <v>36</v>
      </c>
      <c r="F47" s="5" t="n">
        <v>95</v>
      </c>
      <c r="G47" s="6" t="n">
        <v>1.8</v>
      </c>
      <c r="H47" s="7" t="n">
        <v>27.2</v>
      </c>
      <c r="I47" s="8" t="inlineStr">
        <is>
          <t>🟡 偏低</t>
        </is>
      </c>
      <c r="J47" s="9" t="n">
        <v>23</v>
      </c>
    </row>
    <row r="48">
      <c r="A48" s="4" t="inlineStr">
        <is>
          <t>海旅免税城</t>
        </is>
      </c>
      <c r="B48" s="4" t="inlineStr">
        <is>
          <t>寄情</t>
        </is>
      </c>
      <c r="C48" s="4" t="inlineStr">
        <is>
          <t>HERMES</t>
        </is>
      </c>
      <c r="D48" s="5" t="n">
        <v>26</v>
      </c>
      <c r="E48" s="5" t="n">
        <v>44</v>
      </c>
      <c r="F48" s="5" t="n">
        <v>110</v>
      </c>
      <c r="G48" s="6" t="n">
        <v>0.6</v>
      </c>
      <c r="H48" s="7" t="n">
        <v>43.3</v>
      </c>
      <c r="I48" s="8" t="inlineStr">
        <is>
          <t>⚠️ 预警</t>
        </is>
      </c>
      <c r="J48" s="9" t="n">
        <v>62</v>
      </c>
    </row>
    <row r="49">
      <c r="A49" s="4" t="inlineStr">
        <is>
          <t>海旅免税城</t>
        </is>
      </c>
      <c r="B49" s="4" t="inlineStr">
        <is>
          <t>大吉岭茶</t>
        </is>
      </c>
      <c r="C49" s="4" t="inlineStr">
        <is>
          <t>ARMANI</t>
        </is>
      </c>
      <c r="D49" s="5" t="n">
        <v>130</v>
      </c>
      <c r="E49" s="5" t="n">
        <v>48</v>
      </c>
      <c r="F49" s="5" t="n">
        <v>120</v>
      </c>
      <c r="G49" s="6" t="n">
        <v>1.5</v>
      </c>
      <c r="H49" s="7" t="n">
        <v>86.7</v>
      </c>
      <c r="I49" s="8" t="inlineStr">
        <is>
          <t>✅ 正常</t>
        </is>
      </c>
      <c r="J49" s="9" t="n">
        <v>0</v>
      </c>
    </row>
    <row r="50">
      <c r="A50" s="4" t="inlineStr">
        <is>
          <t>中服免税店</t>
        </is>
      </c>
      <c r="B50" s="4" t="inlineStr">
        <is>
          <t>香奈儿5号</t>
        </is>
      </c>
      <c r="C50" s="4" t="inlineStr">
        <is>
          <t>HERMES</t>
        </is>
      </c>
      <c r="D50" s="5" t="n">
        <v>70</v>
      </c>
      <c r="E50" s="5" t="n">
        <v>40</v>
      </c>
      <c r="F50" s="5" t="n">
        <v>100</v>
      </c>
      <c r="G50" s="6" t="n">
        <v>0.7</v>
      </c>
      <c r="H50" s="7" t="n">
        <v>100</v>
      </c>
      <c r="I50" s="8" t="inlineStr">
        <is>
          <t>✅ 正常</t>
        </is>
      </c>
      <c r="J50" s="9" t="n">
        <v>0</v>
      </c>
    </row>
    <row r="51">
      <c r="A51" s="4" t="inlineStr">
        <is>
          <t>中服免税店</t>
        </is>
      </c>
      <c r="B51" s="4" t="inlineStr">
        <is>
          <t>迪奥小姐</t>
        </is>
      </c>
      <c r="C51" s="4" t="inlineStr">
        <is>
          <t>YSL</t>
        </is>
      </c>
      <c r="D51" s="5" t="n">
        <v>55</v>
      </c>
      <c r="E51" s="5" t="n">
        <v>24</v>
      </c>
      <c r="F51" s="5" t="n">
        <v>80</v>
      </c>
      <c r="G51" s="6" t="n">
        <v>1.6</v>
      </c>
      <c r="H51" s="7" t="n">
        <v>34.4</v>
      </c>
      <c r="I51" s="8" t="inlineStr">
        <is>
          <t>✅ 正常</t>
        </is>
      </c>
      <c r="J51" s="9" t="n">
        <v>0</v>
      </c>
    </row>
    <row r="52">
      <c r="A52" s="4" t="inlineStr">
        <is>
          <t>中服免税店</t>
        </is>
      </c>
      <c r="B52" s="4" t="inlineStr">
        <is>
          <t>大地</t>
        </is>
      </c>
      <c r="C52" s="4" t="inlineStr">
        <is>
          <t>CHANEL</t>
        </is>
      </c>
      <c r="D52" s="5" t="n">
        <v>75</v>
      </c>
      <c r="E52" s="5" t="n">
        <v>32</v>
      </c>
      <c r="F52" s="5" t="n">
        <v>90</v>
      </c>
      <c r="G52" s="6" t="n">
        <v>1</v>
      </c>
      <c r="H52" s="7" t="n">
        <v>75</v>
      </c>
      <c r="I52" s="8" t="inlineStr">
        <is>
          <t>✅ 正常</t>
        </is>
      </c>
      <c r="J52" s="9" t="n">
        <v>0</v>
      </c>
    </row>
    <row r="53">
      <c r="A53" s="4" t="inlineStr">
        <is>
          <t>中服免税店</t>
        </is>
      </c>
      <c r="B53" s="4" t="inlineStr">
        <is>
          <t>蓝风铃</t>
        </is>
      </c>
      <c r="C53" s="4" t="inlineStr">
        <is>
          <t>LOEWE</t>
        </is>
      </c>
      <c r="D53" s="5" t="n">
        <v>72</v>
      </c>
      <c r="E53" s="5" t="n">
        <v>28</v>
      </c>
      <c r="F53" s="5" t="n">
        <v>75</v>
      </c>
      <c r="G53" s="6" t="n">
        <v>1.7</v>
      </c>
      <c r="H53" s="7" t="n">
        <v>42.4</v>
      </c>
      <c r="I53" s="8" t="inlineStr">
        <is>
          <t>✅ 正常</t>
        </is>
      </c>
      <c r="J53" s="9" t="n">
        <v>0</v>
      </c>
    </row>
    <row r="54">
      <c r="A54" s="4" t="inlineStr">
        <is>
          <t>中服免税店</t>
        </is>
      </c>
      <c r="B54" s="4" t="inlineStr">
        <is>
          <t>乌木沉香</t>
        </is>
      </c>
      <c r="C54" s="4" t="inlineStr">
        <is>
          <t>GUCCI</t>
        </is>
      </c>
      <c r="D54" s="5" t="n">
        <v>170</v>
      </c>
      <c r="E54" s="5" t="n">
        <v>64</v>
      </c>
      <c r="F54" s="5" t="n">
        <v>150</v>
      </c>
      <c r="G54" s="6" t="n">
        <v>1.8</v>
      </c>
      <c r="H54" s="7" t="n">
        <v>94.40000000000001</v>
      </c>
      <c r="I54" s="8" t="inlineStr">
        <is>
          <t>✅ 正常</t>
        </is>
      </c>
      <c r="J54" s="9" t="n">
        <v>0</v>
      </c>
    </row>
    <row r="55">
      <c r="A55" s="4" t="inlineStr">
        <is>
          <t>中服免税店</t>
        </is>
      </c>
      <c r="B55" s="4" t="inlineStr">
        <is>
          <t>罪爱</t>
        </is>
      </c>
      <c r="C55" s="4" t="inlineStr">
        <is>
          <t>LOEWE</t>
        </is>
      </c>
      <c r="D55" s="5" t="n">
        <v>31</v>
      </c>
      <c r="E55" s="5" t="n">
        <v>36</v>
      </c>
      <c r="F55" s="5" t="n">
        <v>95</v>
      </c>
      <c r="G55" s="6" t="n">
        <v>1.2</v>
      </c>
      <c r="H55" s="7" t="n">
        <v>25.8</v>
      </c>
      <c r="I55" s="8" t="inlineStr">
        <is>
          <t>⚠️ 预警</t>
        </is>
      </c>
      <c r="J55" s="9" t="n">
        <v>41</v>
      </c>
    </row>
    <row r="56">
      <c r="A56" s="4" t="inlineStr">
        <is>
          <t>中服免税店</t>
        </is>
      </c>
      <c r="B56" s="4" t="inlineStr">
        <is>
          <t>寄情</t>
        </is>
      </c>
      <c r="C56" s="4" t="inlineStr">
        <is>
          <t>YSL</t>
        </is>
      </c>
      <c r="D56" s="5" t="n">
        <v>101</v>
      </c>
      <c r="E56" s="5" t="n">
        <v>44</v>
      </c>
      <c r="F56" s="5" t="n">
        <v>110</v>
      </c>
      <c r="G56" s="6" t="n">
        <v>1.4</v>
      </c>
      <c r="H56" s="7" t="n">
        <v>72.09999999999999</v>
      </c>
      <c r="I56" s="8" t="inlineStr">
        <is>
          <t>✅ 正常</t>
        </is>
      </c>
      <c r="J56" s="9" t="n">
        <v>0</v>
      </c>
    </row>
    <row r="57">
      <c r="A57" s="4" t="inlineStr">
        <is>
          <t>中服免税店</t>
        </is>
      </c>
      <c r="B57" s="4" t="inlineStr">
        <is>
          <t>大吉岭茶</t>
        </is>
      </c>
      <c r="C57" s="4" t="inlineStr">
        <is>
          <t>LOEWE</t>
        </is>
      </c>
      <c r="D57" s="5" t="n">
        <v>36</v>
      </c>
      <c r="E57" s="5" t="n">
        <v>48</v>
      </c>
      <c r="F57" s="5" t="n">
        <v>120</v>
      </c>
      <c r="G57" s="6" t="n">
        <v>1.3</v>
      </c>
      <c r="H57" s="7" t="n">
        <v>27.7</v>
      </c>
      <c r="I57" s="8" t="inlineStr">
        <is>
          <t>⚠️ 预警</t>
        </is>
      </c>
      <c r="J57" s="9" t="n">
        <v>60</v>
      </c>
    </row>
    <row r="58">
      <c r="A58" s="4" t="inlineStr">
        <is>
          <t>博鳌免税店</t>
        </is>
      </c>
      <c r="B58" s="4" t="inlineStr">
        <is>
          <t>香奈儿5号</t>
        </is>
      </c>
      <c r="C58" s="4" t="inlineStr">
        <is>
          <t>GUCCI</t>
        </is>
      </c>
      <c r="D58" s="5" t="n">
        <v>62</v>
      </c>
      <c r="E58" s="5" t="n">
        <v>40</v>
      </c>
      <c r="F58" s="5" t="n">
        <v>100</v>
      </c>
      <c r="G58" s="6" t="n">
        <v>2.2</v>
      </c>
      <c r="H58" s="7" t="n">
        <v>28.2</v>
      </c>
      <c r="I58" s="8" t="inlineStr">
        <is>
          <t>✅ 正常</t>
        </is>
      </c>
      <c r="J58" s="9" t="n">
        <v>0</v>
      </c>
    </row>
    <row r="59">
      <c r="A59" s="4" t="inlineStr">
        <is>
          <t>博鳌免税店</t>
        </is>
      </c>
      <c r="B59" s="4" t="inlineStr">
        <is>
          <t>迪奥小姐</t>
        </is>
      </c>
      <c r="C59" s="4" t="inlineStr">
        <is>
          <t>CHANEL</t>
        </is>
      </c>
      <c r="D59" s="5" t="n">
        <v>31</v>
      </c>
      <c r="E59" s="5" t="n">
        <v>24</v>
      </c>
      <c r="F59" s="5" t="n">
        <v>80</v>
      </c>
      <c r="G59" s="6" t="n">
        <v>1.6</v>
      </c>
      <c r="H59" s="7" t="n">
        <v>19.4</v>
      </c>
      <c r="I59" s="8" t="inlineStr">
        <is>
          <t>🟡 偏低</t>
        </is>
      </c>
      <c r="J59" s="9" t="n">
        <v>17</v>
      </c>
    </row>
    <row r="60">
      <c r="A60" s="4" t="inlineStr">
        <is>
          <t>博鳌免税店</t>
        </is>
      </c>
      <c r="B60" s="4" t="inlineStr">
        <is>
          <t>大地</t>
        </is>
      </c>
      <c r="C60" s="4" t="inlineStr">
        <is>
          <t>DIOR</t>
        </is>
      </c>
      <c r="D60" s="5" t="n">
        <v>78</v>
      </c>
      <c r="E60" s="5" t="n">
        <v>32</v>
      </c>
      <c r="F60" s="5" t="n">
        <v>90</v>
      </c>
      <c r="G60" s="6" t="n">
        <v>1.8</v>
      </c>
      <c r="H60" s="7" t="n">
        <v>43.3</v>
      </c>
      <c r="I60" s="8" t="inlineStr">
        <is>
          <t>✅ 正常</t>
        </is>
      </c>
      <c r="J60" s="9" t="n">
        <v>0</v>
      </c>
    </row>
    <row r="61">
      <c r="A61" s="4" t="inlineStr">
        <is>
          <t>博鳌免税店</t>
        </is>
      </c>
      <c r="B61" s="4" t="inlineStr">
        <is>
          <t>蓝风铃</t>
        </is>
      </c>
      <c r="C61" s="4" t="inlineStr">
        <is>
          <t>LOEWE</t>
        </is>
      </c>
      <c r="D61" s="5" t="n">
        <v>81</v>
      </c>
      <c r="E61" s="5" t="n">
        <v>28</v>
      </c>
      <c r="F61" s="5" t="n">
        <v>75</v>
      </c>
      <c r="G61" s="6" t="n">
        <v>1.5</v>
      </c>
      <c r="H61" s="7" t="n">
        <v>54</v>
      </c>
      <c r="I61" s="8" t="inlineStr">
        <is>
          <t>✅ 正常</t>
        </is>
      </c>
      <c r="J61" s="9" t="n">
        <v>0</v>
      </c>
    </row>
    <row r="62">
      <c r="A62" s="4" t="inlineStr">
        <is>
          <t>博鳌免税店</t>
        </is>
      </c>
      <c r="B62" s="4" t="inlineStr">
        <is>
          <t>乌木沉香</t>
        </is>
      </c>
      <c r="C62" s="4" t="inlineStr">
        <is>
          <t>TOM FORD</t>
        </is>
      </c>
      <c r="D62" s="5" t="n">
        <v>160</v>
      </c>
      <c r="E62" s="5" t="n">
        <v>64</v>
      </c>
      <c r="F62" s="5" t="n">
        <v>150</v>
      </c>
      <c r="G62" s="6" t="n">
        <v>1.9</v>
      </c>
      <c r="H62" s="7" t="n">
        <v>84.2</v>
      </c>
      <c r="I62" s="8" t="inlineStr">
        <is>
          <t>✅ 正常</t>
        </is>
      </c>
      <c r="J62" s="9" t="n">
        <v>0</v>
      </c>
    </row>
    <row r="63">
      <c r="A63" s="4" t="inlineStr">
        <is>
          <t>博鳌免税店</t>
        </is>
      </c>
      <c r="B63" s="4" t="inlineStr">
        <is>
          <t>罪爱</t>
        </is>
      </c>
      <c r="C63" s="4" t="inlineStr">
        <is>
          <t>DIOR</t>
        </is>
      </c>
      <c r="D63" s="5" t="n">
        <v>65</v>
      </c>
      <c r="E63" s="5" t="n">
        <v>36</v>
      </c>
      <c r="F63" s="5" t="n">
        <v>95</v>
      </c>
      <c r="G63" s="6" t="n">
        <v>0.8</v>
      </c>
      <c r="H63" s="7" t="n">
        <v>81.2</v>
      </c>
      <c r="I63" s="8" t="inlineStr">
        <is>
          <t>✅ 正常</t>
        </is>
      </c>
      <c r="J63" s="9" t="n">
        <v>0</v>
      </c>
    </row>
    <row r="64">
      <c r="A64" s="4" t="inlineStr">
        <is>
          <t>博鳌免税店</t>
        </is>
      </c>
      <c r="B64" s="4" t="inlineStr">
        <is>
          <t>寄情</t>
        </is>
      </c>
      <c r="C64" s="4" t="inlineStr">
        <is>
          <t>HERMES</t>
        </is>
      </c>
      <c r="D64" s="5" t="n">
        <v>110</v>
      </c>
      <c r="E64" s="5" t="n">
        <v>44</v>
      </c>
      <c r="F64" s="5" t="n">
        <v>110</v>
      </c>
      <c r="G64" s="6" t="n">
        <v>2.5</v>
      </c>
      <c r="H64" s="7" t="n">
        <v>44</v>
      </c>
      <c r="I64" s="8" t="inlineStr">
        <is>
          <t>✅ 正常</t>
        </is>
      </c>
      <c r="J64" s="9" t="n">
        <v>0</v>
      </c>
    </row>
    <row r="65">
      <c r="A65" s="4" t="inlineStr">
        <is>
          <t>博鳌免税店</t>
        </is>
      </c>
      <c r="B65" s="4" t="inlineStr">
        <is>
          <t>大吉岭茶</t>
        </is>
      </c>
      <c r="C65" s="4" t="inlineStr">
        <is>
          <t>BVLGARI</t>
        </is>
      </c>
      <c r="D65" s="5" t="n">
        <v>30</v>
      </c>
      <c r="E65" s="5" t="n">
        <v>48</v>
      </c>
      <c r="F65" s="5" t="n">
        <v>120</v>
      </c>
      <c r="G65" s="6" t="n">
        <v>2</v>
      </c>
      <c r="H65" s="7" t="n">
        <v>15</v>
      </c>
      <c r="I65" s="8" t="inlineStr">
        <is>
          <t>⚠️ 预警</t>
        </is>
      </c>
      <c r="J65" s="9" t="n">
        <v>66</v>
      </c>
    </row>
    <row r="67">
      <c r="A67" s="10" t="inlineStr">
        <is>
          <t>📌 提示：H列(预计天数) / I列(库存状态) / J列(建议补货) 为系统自动计算列，无需填写</t>
        </is>
      </c>
    </row>
    <row r="68">
      <c r="A68" s="11" t="inlineStr">
        <is>
          <t>🟢 绿色底 = 自动计算列  |  白色底 = 需手动填写的列</t>
        </is>
      </c>
    </row>
  </sheetData>
  <dataValidations count="2">
    <dataValidation sqref="A2:A10001" showDropDown="0" showInputMessage="0" showErrorMessage="0" allowBlank="0" error="请从下拉列表中选择门店" type="list">
      <formula1>基础数据配置!$B$2:$B$100</formula1>
    </dataValidation>
    <dataValidation sqref="C2:C10001" showDropDown="0" showInputMessage="0" showErrorMessage="0" allowBlank="0" error="请从下拉列表中选择品牌" type="list">
      <formula1>基础数据配置!$E$2:$E$100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4" max="4"/>
    <col width="20" customWidth="1" min="5" max="5"/>
  </cols>
  <sheetData>
    <row r="1">
      <c r="A1" s="12" t="inlineStr">
        <is>
          <t>序号</t>
        </is>
      </c>
      <c r="B1" s="12" t="inlineStr">
        <is>
          <t>门店</t>
        </is>
      </c>
      <c r="D1" s="13" t="inlineStr">
        <is>
          <t>序号</t>
        </is>
      </c>
      <c r="E1" s="13" t="inlineStr">
        <is>
          <t>品牌</t>
        </is>
      </c>
    </row>
    <row r="2">
      <c r="A2" s="14" t="n">
        <v>1</v>
      </c>
      <c r="B2" s="14" t="inlineStr">
        <is>
          <t>三亚国际免税城</t>
        </is>
      </c>
      <c r="D2" s="14" t="n">
        <v>1</v>
      </c>
      <c r="E2" s="14" t="inlineStr">
        <is>
          <t>CHANEL</t>
        </is>
      </c>
    </row>
    <row r="3">
      <c r="A3" s="14" t="n">
        <v>2</v>
      </c>
      <c r="B3" s="14" t="inlineStr">
        <is>
          <t>海口国际免税城</t>
        </is>
      </c>
      <c r="D3" s="14" t="n">
        <v>2</v>
      </c>
      <c r="E3" s="14" t="inlineStr">
        <is>
          <t>DIOR</t>
        </is>
      </c>
    </row>
    <row r="4">
      <c r="A4" s="14" t="n">
        <v>3</v>
      </c>
      <c r="B4" s="14" t="inlineStr">
        <is>
          <t>海口日月广场免税店</t>
        </is>
      </c>
      <c r="D4" s="14" t="n">
        <v>3</v>
      </c>
      <c r="E4" s="14" t="inlineStr">
        <is>
          <t>HERMES</t>
        </is>
      </c>
    </row>
    <row r="5">
      <c r="A5" s="14" t="n">
        <v>4</v>
      </c>
      <c r="B5" s="14" t="inlineStr">
        <is>
          <t>海口美兰机场免税店</t>
        </is>
      </c>
      <c r="D5" s="14" t="n">
        <v>4</v>
      </c>
      <c r="E5" s="14" t="inlineStr">
        <is>
          <t>JO MALONE</t>
        </is>
      </c>
    </row>
    <row r="6">
      <c r="A6" s="14" t="n">
        <v>5</v>
      </c>
      <c r="B6" s="14" t="inlineStr">
        <is>
          <t>三亚凤凰机场免税店</t>
        </is>
      </c>
      <c r="D6" s="14" t="n">
        <v>5</v>
      </c>
      <c r="E6" s="14" t="inlineStr">
        <is>
          <t>TOM FORD</t>
        </is>
      </c>
    </row>
    <row r="7">
      <c r="A7" s="14" t="n">
        <v>6</v>
      </c>
      <c r="B7" s="14" t="inlineStr">
        <is>
          <t>海旅免税城</t>
        </is>
      </c>
      <c r="D7" s="14" t="n">
        <v>6</v>
      </c>
      <c r="E7" s="14" t="inlineStr">
        <is>
          <t>GUCCI</t>
        </is>
      </c>
    </row>
    <row r="8">
      <c r="A8" s="14" t="n">
        <v>7</v>
      </c>
      <c r="B8" s="14" t="inlineStr">
        <is>
          <t>中服免税店</t>
        </is>
      </c>
      <c r="D8" s="14" t="n">
        <v>7</v>
      </c>
      <c r="E8" s="14" t="inlineStr">
        <is>
          <t>YSL</t>
        </is>
      </c>
    </row>
    <row r="9">
      <c r="A9" s="14" t="n">
        <v>8</v>
      </c>
      <c r="B9" s="14" t="inlineStr">
        <is>
          <t>博鳌免税店</t>
        </is>
      </c>
      <c r="D9" s="14" t="n">
        <v>8</v>
      </c>
      <c r="E9" s="14" t="inlineStr">
        <is>
          <t>ARMANI</t>
        </is>
      </c>
    </row>
    <row r="10">
      <c r="D10" s="14" t="n">
        <v>9</v>
      </c>
      <c r="E10" s="14" t="inlineStr">
        <is>
          <t>BVLGARI</t>
        </is>
      </c>
    </row>
    <row r="11">
      <c r="D11" s="14" t="n">
        <v>10</v>
      </c>
      <c r="E11" s="14" t="inlineStr">
        <is>
          <t>LOEWE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2026-06-23T06:31:21Z</dcterms:created>
  <dcterms:modified xmlns:dcterms="http://purl.org/dc/terms/" xmlns:xsi="http://www.w3.org/2001/XMLSchema-instance" xsi:type="dcterms:W3CDTF">2026-06-23T06:31:21Z</dcterms:modified>
</cp:coreProperties>
</file>